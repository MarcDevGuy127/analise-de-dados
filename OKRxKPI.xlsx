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84" windowWidth="16260" windowHeight="5856" activeTab="1"/>
  </bookViews>
  <sheets>
    <sheet name="Tabela Dinâmica" sheetId="4" r:id="rId1"/>
    <sheet name="Planilha" sheetId="1" r:id="rId2"/>
    <sheet name="Gráficos" sheetId="2" r:id="rId3"/>
  </sheets>
  <calcPr calcId="125725"/>
  <pivotCaches>
    <pivotCache cacheId="8" r:id="rId4"/>
  </pivotCaches>
</workbook>
</file>

<file path=xl/calcChain.xml><?xml version="1.0" encoding="utf-8"?>
<calcChain xmlns="http://schemas.openxmlformats.org/spreadsheetml/2006/main">
  <c r="K2" i="1"/>
  <c r="J2"/>
  <c r="I2"/>
  <c r="F3"/>
  <c r="F4"/>
  <c r="F5"/>
  <c r="F6"/>
  <c r="F7"/>
  <c r="F8"/>
  <c r="F2"/>
  <c r="A2"/>
</calcChain>
</file>

<file path=xl/sharedStrings.xml><?xml version="1.0" encoding="utf-8"?>
<sst xmlns="http://schemas.openxmlformats.org/spreadsheetml/2006/main" count="47" uniqueCount="29">
  <si>
    <t>Data</t>
  </si>
  <si>
    <t>Vendedor</t>
  </si>
  <si>
    <t>Produto</t>
  </si>
  <si>
    <t>Quantidade</t>
  </si>
  <si>
    <t>Preço Unitário</t>
  </si>
  <si>
    <t>Receita</t>
  </si>
  <si>
    <t>Marcos</t>
  </si>
  <si>
    <t>Josemar</t>
  </si>
  <si>
    <t>Osvaldo</t>
  </si>
  <si>
    <t>Bartolomeu</t>
  </si>
  <si>
    <t>Jorge</t>
  </si>
  <si>
    <t>Paulo</t>
  </si>
  <si>
    <t>Henrique</t>
  </si>
  <si>
    <t>Refrigerante</t>
  </si>
  <si>
    <t>Bolo</t>
  </si>
  <si>
    <t>Cupcake</t>
  </si>
  <si>
    <t>Bolo no pote</t>
  </si>
  <si>
    <t>Brownie</t>
  </si>
  <si>
    <t>Cookie</t>
  </si>
  <si>
    <t>Donut</t>
  </si>
  <si>
    <t>Receita Total</t>
  </si>
  <si>
    <t>Ticket Médio</t>
  </si>
  <si>
    <t>Total de Vendas</t>
  </si>
  <si>
    <t>Melhor Vendedor</t>
  </si>
  <si>
    <t>Rótulos de Linha</t>
  </si>
  <si>
    <t>Total geral</t>
  </si>
  <si>
    <t>Soma de Quantidade</t>
  </si>
  <si>
    <t>Valores</t>
  </si>
  <si>
    <t>Soma de Receita</t>
  </si>
</sst>
</file>

<file path=xl/styles.xml><?xml version="1.0" encoding="utf-8"?>
<styleSheet xmlns="http://schemas.openxmlformats.org/spreadsheetml/2006/main">
  <numFmts count="2">
    <numFmt numFmtId="4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pivotSource>
    <c:name>[OKRxKPI.xlsx]Tabela Dinâmica!Tabela dinâmica1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Receita por Vendedor</a:t>
            </a: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'Tabela Dinâmica'!$B$5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'Tabela Dinâmica'!$A$6:$A$13</c:f>
              <c:strCache>
                <c:ptCount val="7"/>
                <c:pt idx="0">
                  <c:v>Bartolomeu</c:v>
                </c:pt>
                <c:pt idx="1">
                  <c:v>Henrique</c:v>
                </c:pt>
                <c:pt idx="2">
                  <c:v>Jorge</c:v>
                </c:pt>
                <c:pt idx="3">
                  <c:v>Josemar</c:v>
                </c:pt>
                <c:pt idx="4">
                  <c:v>Marcos</c:v>
                </c:pt>
                <c:pt idx="5">
                  <c:v>Osvaldo</c:v>
                </c:pt>
                <c:pt idx="6">
                  <c:v>Paulo</c:v>
                </c:pt>
              </c:strCache>
            </c:strRef>
          </c:cat>
          <c:val>
            <c:numRef>
              <c:f>'Tabela Dinâmica'!$B$6:$B$13</c:f>
              <c:numCache>
                <c:formatCode>General</c:formatCode>
                <c:ptCount val="7"/>
                <c:pt idx="0">
                  <c:v>45</c:v>
                </c:pt>
                <c:pt idx="1">
                  <c:v>75</c:v>
                </c:pt>
                <c:pt idx="2">
                  <c:v>135</c:v>
                </c:pt>
                <c:pt idx="3">
                  <c:v>480</c:v>
                </c:pt>
                <c:pt idx="4">
                  <c:v>35</c:v>
                </c:pt>
                <c:pt idx="5">
                  <c:v>56</c:v>
                </c:pt>
                <c:pt idx="6">
                  <c:v>45</c:v>
                </c:pt>
              </c:numCache>
            </c:numRef>
          </c:val>
        </c:ser>
        <c:axId val="164196736"/>
        <c:axId val="164198272"/>
      </c:barChart>
      <c:catAx>
        <c:axId val="164196736"/>
        <c:scaling>
          <c:orientation val="minMax"/>
        </c:scaling>
        <c:axPos val="b"/>
        <c:tickLblPos val="nextTo"/>
        <c:crossAx val="164198272"/>
        <c:crosses val="autoZero"/>
        <c:auto val="1"/>
        <c:lblAlgn val="ctr"/>
        <c:lblOffset val="100"/>
      </c:catAx>
      <c:valAx>
        <c:axId val="164198272"/>
        <c:scaling>
          <c:orientation val="minMax"/>
        </c:scaling>
        <c:axPos val="l"/>
        <c:majorGridlines/>
        <c:numFmt formatCode="General" sourceLinked="1"/>
        <c:tickLblPos val="nextTo"/>
        <c:crossAx val="1641967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pivotSource>
    <c:name>[OKRxKPI.xlsx]Tabela Dinâmica!Tabela dinâmica3</c:name>
    <c:fmtId val="8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Demanda de Produtos</a:t>
            </a:r>
          </a:p>
        </c:rich>
      </c:tx>
      <c:layout/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Percent val="1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Percent val="1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Percent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Percent val="1"/>
        </c:dLbl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Percent val="1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pt-BR"/>
            </a:p>
          </c:txPr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'Tabela Dinâmica'!$G$5:$G$6</c:f>
              <c:strCache>
                <c:ptCount val="1"/>
                <c:pt idx="0">
                  <c:v>Soma de Quantidade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Percent val="1"/>
            <c:showLeaderLines val="1"/>
          </c:dLbls>
          <c:cat>
            <c:strRef>
              <c:f>'Tabela Dinâmica'!$F$7:$F$14</c:f>
              <c:strCache>
                <c:ptCount val="7"/>
                <c:pt idx="0">
                  <c:v>Bolo</c:v>
                </c:pt>
                <c:pt idx="1">
                  <c:v>Bolo no pote</c:v>
                </c:pt>
                <c:pt idx="2">
                  <c:v>Brownie</c:v>
                </c:pt>
                <c:pt idx="3">
                  <c:v>Cookie</c:v>
                </c:pt>
                <c:pt idx="4">
                  <c:v>Cupcake</c:v>
                </c:pt>
                <c:pt idx="5">
                  <c:v>Donut</c:v>
                </c:pt>
                <c:pt idx="6">
                  <c:v>Refrigerante</c:v>
                </c:pt>
              </c:strCache>
            </c:strRef>
          </c:cat>
          <c:val>
            <c:numRef>
              <c:f>'Tabela Dinâmica'!$G$7:$G$14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25</c:v>
                </c:pt>
                <c:pt idx="4">
                  <c:v>7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</c:ser>
        <c:ser>
          <c:idx val="1"/>
          <c:order val="1"/>
          <c:tx>
            <c:strRef>
              <c:f>'Tabela Dinâmica'!$H$5:$H$6</c:f>
              <c:strCache>
                <c:ptCount val="1"/>
                <c:pt idx="0">
                  <c:v>Soma de Receita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pt-BR"/>
              </a:p>
            </c:txPr>
            <c:showPercent val="1"/>
            <c:showLeaderLines val="1"/>
          </c:dLbls>
          <c:cat>
            <c:strRef>
              <c:f>'Tabela Dinâmica'!$F$7:$F$14</c:f>
              <c:strCache>
                <c:ptCount val="7"/>
                <c:pt idx="0">
                  <c:v>Bolo</c:v>
                </c:pt>
                <c:pt idx="1">
                  <c:v>Bolo no pote</c:v>
                </c:pt>
                <c:pt idx="2">
                  <c:v>Brownie</c:v>
                </c:pt>
                <c:pt idx="3">
                  <c:v>Cookie</c:v>
                </c:pt>
                <c:pt idx="4">
                  <c:v>Cupcake</c:v>
                </c:pt>
                <c:pt idx="5">
                  <c:v>Donut</c:v>
                </c:pt>
                <c:pt idx="6">
                  <c:v>Refrigerante</c:v>
                </c:pt>
              </c:strCache>
            </c:strRef>
          </c:cat>
          <c:val>
            <c:numRef>
              <c:f>'Tabela Dinâmica'!$H$7:$H$14</c:f>
              <c:numCache>
                <c:formatCode>General</c:formatCode>
                <c:ptCount val="7"/>
                <c:pt idx="0">
                  <c:v>480</c:v>
                </c:pt>
                <c:pt idx="1">
                  <c:v>135</c:v>
                </c:pt>
                <c:pt idx="2">
                  <c:v>45</c:v>
                </c:pt>
                <c:pt idx="3">
                  <c:v>75</c:v>
                </c:pt>
                <c:pt idx="4">
                  <c:v>56</c:v>
                </c:pt>
                <c:pt idx="5">
                  <c:v>45</c:v>
                </c:pt>
                <c:pt idx="6">
                  <c:v>35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68580</xdr:colOff>
      <xdr:row>15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0</xdr:row>
      <xdr:rowOff>0</xdr:rowOff>
    </xdr:from>
    <xdr:to>
      <xdr:col>13</xdr:col>
      <xdr:colOff>312420</xdr:colOff>
      <xdr:row>15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celo Silva" refreshedDate="45926.408289467596" createdVersion="3" refreshedVersion="3" minRefreshableVersion="3" recordCount="7">
  <cacheSource type="worksheet">
    <worksheetSource ref="A1:F8" sheet="Planilha"/>
  </cacheSource>
  <cacheFields count="6">
    <cacheField name="Data" numFmtId="14">
      <sharedItems containsSemiMixedTypes="0" containsNonDate="0" containsDate="1" containsString="0" minDate="2025-09-26T00:00:00" maxDate="2025-10-03T00:00:00" count="7">
        <d v="2025-09-26T00:00:00"/>
        <d v="2025-09-27T00:00:00"/>
        <d v="2025-09-28T00:00:00"/>
        <d v="2025-09-29T00:00:00"/>
        <d v="2025-09-30T00:00:00"/>
        <d v="2025-10-01T00:00:00"/>
        <d v="2025-10-02T00:00:00"/>
      </sharedItems>
    </cacheField>
    <cacheField name="Vendedor" numFmtId="0">
      <sharedItems count="7">
        <s v="Marcos"/>
        <s v="Josemar"/>
        <s v="Osvaldo"/>
        <s v="Bartolomeu"/>
        <s v="Jorge"/>
        <s v="Paulo"/>
        <s v="Henrique"/>
      </sharedItems>
    </cacheField>
    <cacheField name="Produto" numFmtId="0">
      <sharedItems count="7">
        <s v="Refrigerante"/>
        <s v="Bolo"/>
        <s v="Cupcake"/>
        <s v="Donut"/>
        <s v="Bolo no pote"/>
        <s v="Brownie"/>
        <s v="Cookie"/>
      </sharedItems>
    </cacheField>
    <cacheField name="Quantidade" numFmtId="0">
      <sharedItems containsSemiMixedTypes="0" containsString="0" containsNumber="1" containsInteger="1" minValue="5" maxValue="25" count="7">
        <n v="5"/>
        <n v="12"/>
        <n v="7"/>
        <n v="9"/>
        <n v="15"/>
        <n v="10"/>
        <n v="25"/>
      </sharedItems>
    </cacheField>
    <cacheField name="Preço Unitário" numFmtId="165">
      <sharedItems containsSemiMixedTypes="0" containsString="0" containsNumber="1" minValue="3" maxValue="40" count="7">
        <n v="7"/>
        <n v="40"/>
        <n v="8"/>
        <n v="5"/>
        <n v="9"/>
        <n v="4.5"/>
        <n v="3"/>
      </sharedItems>
    </cacheField>
    <cacheField name="Receita" numFmtId="44">
      <sharedItems containsSemiMixedTypes="0" containsString="0" containsNumber="1" containsInteger="1" minValue="35" maxValue="480" count="6">
        <n v="35"/>
        <n v="480"/>
        <n v="56"/>
        <n v="45"/>
        <n v="135"/>
        <n v="7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3"/>
    <x v="3"/>
    <x v="3"/>
  </r>
  <r>
    <x v="4"/>
    <x v="4"/>
    <x v="4"/>
    <x v="4"/>
    <x v="4"/>
    <x v="4"/>
  </r>
  <r>
    <x v="5"/>
    <x v="5"/>
    <x v="5"/>
    <x v="5"/>
    <x v="5"/>
    <x v="3"/>
  </r>
  <r>
    <x v="6"/>
    <x v="6"/>
    <x v="6"/>
    <x v="6"/>
    <x v="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8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9">
  <location ref="F5:H14" firstHeaderRow="1" firstDataRow="2" firstDataCol="1"/>
  <pivotFields count="6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multipleItemSelectionAllowed="1" showAll="0">
      <items count="8">
        <item x="3"/>
        <item x="6"/>
        <item x="4"/>
        <item x="1"/>
        <item x="0"/>
        <item x="2"/>
        <item x="5"/>
        <item t="default"/>
      </items>
    </pivotField>
    <pivotField axis="axisRow" showAll="0">
      <items count="8">
        <item x="1"/>
        <item x="4"/>
        <item x="5"/>
        <item x="6"/>
        <item x="2"/>
        <item x="3"/>
        <item x="0"/>
        <item t="default"/>
      </items>
    </pivotField>
    <pivotField dataField="1" showAll="0">
      <items count="8">
        <item x="0"/>
        <item x="2"/>
        <item x="3"/>
        <item x="5"/>
        <item x="1"/>
        <item x="4"/>
        <item x="6"/>
        <item t="default"/>
      </items>
    </pivotField>
    <pivotField numFmtId="165" showAll="0">
      <items count="8">
        <item x="6"/>
        <item x="5"/>
        <item x="3"/>
        <item x="0"/>
        <item x="2"/>
        <item x="4"/>
        <item x="1"/>
        <item t="default"/>
      </items>
    </pivotField>
    <pivotField dataField="1" numFmtId="44" showAll="0">
      <items count="7">
        <item x="0"/>
        <item x="3"/>
        <item x="2"/>
        <item x="5"/>
        <item x="4"/>
        <item x="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3" baseField="0" baseItem="0"/>
    <dataField name="Soma de Receita" fld="5" baseField="0" baseItem="0"/>
  </dataFields>
  <chartFormats count="14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dinâmica1" cacheId="8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 chartFormat="6">
  <location ref="A5:B13" firstHeaderRow="1" firstDataRow="1" firstDataCol="1"/>
  <pivotFields count="6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multipleItemSelectionAllowed="1" showAll="0">
      <items count="8">
        <item x="3"/>
        <item x="6"/>
        <item x="4"/>
        <item x="1"/>
        <item x="0"/>
        <item x="2"/>
        <item x="5"/>
        <item t="default"/>
      </items>
    </pivotField>
    <pivotField showAll="0">
      <items count="8">
        <item x="1"/>
        <item x="4"/>
        <item x="5"/>
        <item x="6"/>
        <item x="2"/>
        <item x="3"/>
        <item x="0"/>
        <item t="default"/>
      </items>
    </pivotField>
    <pivotField showAll="0">
      <items count="8">
        <item x="0"/>
        <item x="2"/>
        <item x="3"/>
        <item x="5"/>
        <item x="1"/>
        <item x="4"/>
        <item x="6"/>
        <item t="default"/>
      </items>
    </pivotField>
    <pivotField numFmtId="165" showAll="0">
      <items count="8">
        <item x="6"/>
        <item x="5"/>
        <item x="3"/>
        <item x="0"/>
        <item x="2"/>
        <item x="4"/>
        <item x="1"/>
        <item t="default"/>
      </items>
    </pivotField>
    <pivotField dataField="1" numFmtId="44" showAll="0">
      <items count="7">
        <item x="0"/>
        <item x="3"/>
        <item x="2"/>
        <item x="5"/>
        <item x="4"/>
        <item x="1"/>
        <item t="default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Receita" fld="5" baseField="0" baseItem="0"/>
  </dataFields>
  <chartFormats count="32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H14"/>
  <sheetViews>
    <sheetView workbookViewId="0">
      <selection activeCell="I21" sqref="I21"/>
    </sheetView>
  </sheetViews>
  <sheetFormatPr defaultRowHeight="14.4"/>
  <cols>
    <col min="1" max="1" width="17.21875" customWidth="1"/>
    <col min="2" max="4" width="15" customWidth="1"/>
    <col min="5" max="5" width="6.77734375" customWidth="1"/>
    <col min="6" max="6" width="17.21875" customWidth="1"/>
    <col min="7" max="7" width="18.88671875" customWidth="1"/>
    <col min="8" max="9" width="15" customWidth="1"/>
    <col min="10" max="10" width="11.77734375" customWidth="1"/>
    <col min="11" max="11" width="7.88671875" customWidth="1"/>
    <col min="12" max="12" width="6.77734375" customWidth="1"/>
    <col min="13" max="13" width="8.21875" customWidth="1"/>
    <col min="14" max="14" width="6.21875" customWidth="1"/>
    <col min="15" max="15" width="11.33203125" customWidth="1"/>
    <col min="16" max="16" width="15" customWidth="1"/>
    <col min="17" max="17" width="11.77734375" customWidth="1"/>
    <col min="18" max="18" width="7.88671875" customWidth="1"/>
    <col min="19" max="19" width="6.77734375" customWidth="1"/>
    <col min="20" max="20" width="8.21875" customWidth="1"/>
    <col min="21" max="21" width="6.21875" customWidth="1"/>
    <col min="22" max="22" width="11.33203125" customWidth="1"/>
    <col min="23" max="23" width="23.6640625" customWidth="1"/>
    <col min="24" max="24" width="25.88671875" customWidth="1"/>
    <col min="25" max="25" width="19.77734375" customWidth="1"/>
    <col min="26" max="29" width="10.77734375" bestFit="1" customWidth="1"/>
    <col min="30" max="30" width="23.6640625" bestFit="1" customWidth="1"/>
    <col min="31" max="31" width="21.5546875" bestFit="1" customWidth="1"/>
    <col min="32" max="32" width="25.88671875" bestFit="1" customWidth="1"/>
    <col min="33" max="33" width="19.77734375" bestFit="1" customWidth="1"/>
  </cols>
  <sheetData>
    <row r="5" spans="1:8">
      <c r="A5" s="8" t="s">
        <v>24</v>
      </c>
      <c r="B5" t="s">
        <v>28</v>
      </c>
      <c r="G5" s="8" t="s">
        <v>27</v>
      </c>
    </row>
    <row r="6" spans="1:8">
      <c r="A6" s="10" t="s">
        <v>9</v>
      </c>
      <c r="B6" s="9">
        <v>45</v>
      </c>
      <c r="F6" s="8" t="s">
        <v>24</v>
      </c>
      <c r="G6" t="s">
        <v>26</v>
      </c>
      <c r="H6" t="s">
        <v>28</v>
      </c>
    </row>
    <row r="7" spans="1:8">
      <c r="A7" s="10" t="s">
        <v>12</v>
      </c>
      <c r="B7" s="9">
        <v>75</v>
      </c>
      <c r="F7" s="10" t="s">
        <v>14</v>
      </c>
      <c r="G7" s="9">
        <v>12</v>
      </c>
      <c r="H7" s="9">
        <v>480</v>
      </c>
    </row>
    <row r="8" spans="1:8">
      <c r="A8" s="10" t="s">
        <v>10</v>
      </c>
      <c r="B8" s="9">
        <v>135</v>
      </c>
      <c r="F8" s="10" t="s">
        <v>16</v>
      </c>
      <c r="G8" s="9">
        <v>15</v>
      </c>
      <c r="H8" s="9">
        <v>135</v>
      </c>
    </row>
    <row r="9" spans="1:8">
      <c r="A9" s="10" t="s">
        <v>7</v>
      </c>
      <c r="B9" s="9">
        <v>480</v>
      </c>
      <c r="F9" s="10" t="s">
        <v>17</v>
      </c>
      <c r="G9" s="9">
        <v>10</v>
      </c>
      <c r="H9" s="9">
        <v>45</v>
      </c>
    </row>
    <row r="10" spans="1:8">
      <c r="A10" s="10" t="s">
        <v>6</v>
      </c>
      <c r="B10" s="9">
        <v>35</v>
      </c>
      <c r="F10" s="10" t="s">
        <v>18</v>
      </c>
      <c r="G10" s="9">
        <v>25</v>
      </c>
      <c r="H10" s="9">
        <v>75</v>
      </c>
    </row>
    <row r="11" spans="1:8">
      <c r="A11" s="10" t="s">
        <v>8</v>
      </c>
      <c r="B11" s="9">
        <v>56</v>
      </c>
      <c r="F11" s="10" t="s">
        <v>15</v>
      </c>
      <c r="G11" s="9">
        <v>7</v>
      </c>
      <c r="H11" s="9">
        <v>56</v>
      </c>
    </row>
    <row r="12" spans="1:8">
      <c r="A12" s="10" t="s">
        <v>11</v>
      </c>
      <c r="B12" s="9">
        <v>45</v>
      </c>
      <c r="F12" s="10" t="s">
        <v>19</v>
      </c>
      <c r="G12" s="9">
        <v>9</v>
      </c>
      <c r="H12" s="9">
        <v>45</v>
      </c>
    </row>
    <row r="13" spans="1:8">
      <c r="A13" s="10" t="s">
        <v>25</v>
      </c>
      <c r="B13" s="9">
        <v>871</v>
      </c>
      <c r="F13" s="10" t="s">
        <v>13</v>
      </c>
      <c r="G13" s="9">
        <v>5</v>
      </c>
      <c r="H13" s="9">
        <v>35</v>
      </c>
    </row>
    <row r="14" spans="1:8">
      <c r="F14" s="10" t="s">
        <v>25</v>
      </c>
      <c r="G14" s="9">
        <v>83</v>
      </c>
      <c r="H14" s="9">
        <v>871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>
      <selection activeCell="K5" sqref="K5"/>
    </sheetView>
  </sheetViews>
  <sheetFormatPr defaultRowHeight="14.4"/>
  <cols>
    <col min="1" max="1" width="10.5546875" bestFit="1" customWidth="1"/>
    <col min="2" max="2" width="10.6640625" bestFit="1" customWidth="1"/>
    <col min="3" max="3" width="11.5546875" bestFit="1" customWidth="1"/>
    <col min="4" max="4" width="10.88671875" bestFit="1" customWidth="1"/>
    <col min="5" max="5" width="13.109375" bestFit="1" customWidth="1"/>
    <col min="6" max="6" width="10.33203125" bestFit="1" customWidth="1"/>
    <col min="9" max="10" width="11.77734375" bestFit="1" customWidth="1"/>
    <col min="11" max="11" width="14.5546875" bestFit="1" customWidth="1"/>
    <col min="12" max="12" width="16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>
      <c r="A2" s="3">
        <f ca="1">TODAY()</f>
        <v>45926</v>
      </c>
      <c r="B2" s="4" t="s">
        <v>6</v>
      </c>
      <c r="C2" s="4" t="s">
        <v>13</v>
      </c>
      <c r="D2" s="4">
        <v>5</v>
      </c>
      <c r="E2" s="5">
        <v>7</v>
      </c>
      <c r="F2" s="6">
        <f>PRODUCT(D2,E2)</f>
        <v>35</v>
      </c>
      <c r="I2" s="7">
        <f>SUM(F2:F8)</f>
        <v>871</v>
      </c>
      <c r="J2" s="7">
        <f>AVERAGE(F2:F8)</f>
        <v>124.42857142857143</v>
      </c>
      <c r="K2">
        <f>SUM(D2:D8)</f>
        <v>83</v>
      </c>
      <c r="L2" t="s">
        <v>7</v>
      </c>
    </row>
    <row r="3" spans="1:12">
      <c r="A3" s="3">
        <v>45927</v>
      </c>
      <c r="B3" s="4" t="s">
        <v>7</v>
      </c>
      <c r="C3" s="4" t="s">
        <v>14</v>
      </c>
      <c r="D3" s="4">
        <v>12</v>
      </c>
      <c r="E3" s="5">
        <v>40</v>
      </c>
      <c r="F3" s="6">
        <f t="shared" ref="F3:F8" si="0">PRODUCT(D3,E3)</f>
        <v>480</v>
      </c>
    </row>
    <row r="4" spans="1:12">
      <c r="A4" s="3">
        <v>45928</v>
      </c>
      <c r="B4" s="4" t="s">
        <v>8</v>
      </c>
      <c r="C4" s="4" t="s">
        <v>15</v>
      </c>
      <c r="D4" s="4">
        <v>7</v>
      </c>
      <c r="E4" s="5">
        <v>8</v>
      </c>
      <c r="F4" s="6">
        <f t="shared" si="0"/>
        <v>56</v>
      </c>
    </row>
    <row r="5" spans="1:12">
      <c r="A5" s="3">
        <v>45929</v>
      </c>
      <c r="B5" s="4" t="s">
        <v>9</v>
      </c>
      <c r="C5" s="4" t="s">
        <v>19</v>
      </c>
      <c r="D5" s="4">
        <v>9</v>
      </c>
      <c r="E5" s="5">
        <v>5</v>
      </c>
      <c r="F5" s="6">
        <f t="shared" si="0"/>
        <v>45</v>
      </c>
    </row>
    <row r="6" spans="1:12">
      <c r="A6" s="3">
        <v>45930</v>
      </c>
      <c r="B6" s="4" t="s">
        <v>10</v>
      </c>
      <c r="C6" s="4" t="s">
        <v>16</v>
      </c>
      <c r="D6" s="4">
        <v>15</v>
      </c>
      <c r="E6" s="5">
        <v>9</v>
      </c>
      <c r="F6" s="6">
        <f t="shared" si="0"/>
        <v>135</v>
      </c>
    </row>
    <row r="7" spans="1:12">
      <c r="A7" s="3">
        <v>45931</v>
      </c>
      <c r="B7" s="4" t="s">
        <v>11</v>
      </c>
      <c r="C7" s="4" t="s">
        <v>17</v>
      </c>
      <c r="D7" s="4">
        <v>10</v>
      </c>
      <c r="E7" s="5">
        <v>4.5</v>
      </c>
      <c r="F7" s="6">
        <f t="shared" si="0"/>
        <v>45</v>
      </c>
    </row>
    <row r="8" spans="1:12">
      <c r="A8" s="3">
        <v>45932</v>
      </c>
      <c r="B8" s="4" t="s">
        <v>12</v>
      </c>
      <c r="C8" s="4" t="s">
        <v>18</v>
      </c>
      <c r="D8" s="4">
        <v>25</v>
      </c>
      <c r="E8" s="5">
        <v>3</v>
      </c>
      <c r="F8" s="6">
        <f t="shared" si="0"/>
        <v>75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24" sqref="J24"/>
    </sheetView>
  </sheetViews>
  <sheetFormatPr defaultRowHeight="14.4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Dinâmica</vt:lpstr>
      <vt:lpstr>Planilha</vt:lpstr>
      <vt:lpstr>Gráficos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Silva</dc:creator>
  <cp:lastModifiedBy>Marcelo Silva</cp:lastModifiedBy>
  <dcterms:created xsi:type="dcterms:W3CDTF">2025-09-26T12:09:58Z</dcterms:created>
  <dcterms:modified xsi:type="dcterms:W3CDTF">2025-09-26T14:48:19Z</dcterms:modified>
</cp:coreProperties>
</file>